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JPK VO\SALE BRAVAT\"/>
    </mc:Choice>
  </mc:AlternateContent>
  <xr:revisionPtr revIDLastSave="0" documentId="8_{0E03F66F-B6CE-449D-80D1-F4B90B9B5107}" xr6:coauthVersionLast="47" xr6:coauthVersionMax="47" xr10:uidLastSave="{00000000-0000-0000-0000-000000000000}"/>
  <bookViews>
    <workbookView xWindow="-103" yWindow="-103" windowWidth="23657" windowHeight="15840" xr2:uid="{00000000-000D-0000-FFFF-FFFF00000000}"/>
  </bookViews>
  <sheets>
    <sheet name="BAN HÀNH" sheetId="1" r:id="rId1"/>
  </sheets>
  <definedNames>
    <definedName name="_xlnm._FilterDatabase" localSheetId="0" hidden="1">'BAN HÀNH'!$A$1:$G$17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5" i="1" l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F19" i="1"/>
  <c r="G19" i="1" s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2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?</t>
        </r>
      </text>
    </comment>
    <comment ref="A3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?</t>
        </r>
      </text>
    </comment>
    <comment ref="A3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?
</t>
        </r>
      </text>
    </comment>
    <comment ref="A34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?</t>
        </r>
      </text>
    </comment>
  </commentList>
</comments>
</file>

<file path=xl/sharedStrings.xml><?xml version="1.0" encoding="utf-8"?>
<sst xmlns="http://schemas.openxmlformats.org/spreadsheetml/2006/main" count="136" uniqueCount="85">
  <si>
    <t>STT</t>
  </si>
  <si>
    <t>MÃ HÀNG</t>
  </si>
  <si>
    <t>TÊN SẢN PHẨM</t>
  </si>
  <si>
    <t>THƯƠNG HIỆU</t>
  </si>
  <si>
    <t>GIÁ NIÊM YẾT</t>
  </si>
  <si>
    <t>MỨC CK</t>
  </si>
  <si>
    <t>GIÁ SAU CHIẾT KHẤU</t>
  </si>
  <si>
    <t>C22149W-1-ENG</t>
  </si>
  <si>
    <t>Chậu rửa bán âm có lỗ vòi - HCN
580x420x170mm</t>
  </si>
  <si>
    <t>BRAVAT</t>
  </si>
  <si>
    <t>C22185W-ENG</t>
  </si>
  <si>
    <t>Chậu rửa đặt bàn - Oval
700X380X120mm</t>
  </si>
  <si>
    <t>C22206W-ENG</t>
  </si>
  <si>
    <t>Chậu rửa bán âm - HCN 
580x390x188mm</t>
  </si>
  <si>
    <t>C22218W-ENG</t>
  </si>
  <si>
    <t>Chậu rửa bán âm - Oval
635X435X225mm</t>
  </si>
  <si>
    <t>C22327W-ENG</t>
  </si>
  <si>
    <t>Chậu rửa bán âm -Vuông
 415x415x170mm</t>
  </si>
  <si>
    <t>C22332W-ENG</t>
  </si>
  <si>
    <t>Chậu rửa bán âm - HCN 
 590x410x180mm</t>
  </si>
  <si>
    <t>C22356K</t>
  </si>
  <si>
    <t>Chậu rửa đặt bàn - Vuông
400x400x115mm</t>
  </si>
  <si>
    <t>C22357K</t>
  </si>
  <si>
    <t>Chậu rửa đặt bàn - Tròn
 400x400x125mm</t>
  </si>
  <si>
    <t>C22238W-1-ENG</t>
  </si>
  <si>
    <t>Chậu rửa đặt bàn có lỗ vòi -Vuông
430x430x125mm</t>
  </si>
  <si>
    <t>C22192W-1-ENG</t>
  </si>
  <si>
    <t>Chậu rửa đặt bàn có lỗ vòi - HCN
600x480x130mm bao gồm họng xả</t>
  </si>
  <si>
    <t>C22243W-1</t>
  </si>
  <si>
    <t>Chậu rửa bán âm có lỗ vòi-HCN 
(mix cùng tủ chậu M3225R-1) 615×415×195mm</t>
  </si>
  <si>
    <t>C2206W-1-ENG</t>
  </si>
  <si>
    <t>Chậu rửa bán âm- Oval (mix cùng tủ chậu M3206W-1)
 600x600x200mm</t>
  </si>
  <si>
    <t>C22468W-1-ENG</t>
  </si>
  <si>
    <t>Chậu rửa đặt bàn có lỗ vòi - 500x425x130mm</t>
  </si>
  <si>
    <t>C2295W-1B-ENG</t>
  </si>
  <si>
    <t>Chậu rửa bán âm 510x420x155mm</t>
  </si>
  <si>
    <t>C2244W-1-ENG</t>
  </si>
  <si>
    <t>Chậu rửa đặt bàn có lỗ vòi - HCN 750mm</t>
  </si>
  <si>
    <t>C21131XUW-3A-ENG</t>
  </si>
  <si>
    <t>Bồn cầu 1 khối 675x365x765mm</t>
  </si>
  <si>
    <t>C21255UW-ENG</t>
  </si>
  <si>
    <t>Bồn cầu âm tường đặt sàn 530x360x420mm</t>
  </si>
  <si>
    <t>CX21140UW-3C</t>
  </si>
  <si>
    <t>THÂN-Bồn cầu 2 khối 
(mix CY21140W)</t>
  </si>
  <si>
    <t>CY21140W</t>
  </si>
  <si>
    <t>Két Nước-Bồn cầu 2 khối
(mix CX21140UW-3C)</t>
  </si>
  <si>
    <t>Vòi chậu thân thấp</t>
  </si>
  <si>
    <t>Vòi chậu thân cao</t>
  </si>
  <si>
    <t>F156101C-A-ENG</t>
  </si>
  <si>
    <t>F198152C-ENG</t>
  </si>
  <si>
    <t>Vòi chậu 3 lỗ
(bao gồm họng xả)</t>
  </si>
  <si>
    <t>Vòi chậu thân thấp (M)</t>
  </si>
  <si>
    <t>Vòi chậu thân cao (L)</t>
  </si>
  <si>
    <t>F13379C-ENG</t>
  </si>
  <si>
    <t>Vòi chậu thân thấp M</t>
  </si>
  <si>
    <t>F14797C</t>
  </si>
  <si>
    <t>F198152C-A-ENG</t>
  </si>
  <si>
    <t>Cây sen gắn tường 3F (gạt)</t>
  </si>
  <si>
    <t>Cây sen gắn tường nhiệt độ 3F</t>
  </si>
  <si>
    <t>Cây sen gắn tường 3F- Tròn</t>
  </si>
  <si>
    <t>Cây Sen gắn tường nhiệt độ 3F-Vuông</t>
  </si>
  <si>
    <t>C2504W-B2-ENG</t>
  </si>
  <si>
    <t>Tiểu nam 302x410x705mm
(mix bộ van xả cảm ứng D658C)</t>
  </si>
  <si>
    <t>C2504W-B4-ENG</t>
  </si>
  <si>
    <t>Tiểu nam (mix bộ van xả cảm ứng D658C)</t>
  </si>
  <si>
    <t>C2512W-B-ENG</t>
  </si>
  <si>
    <t>Tiểu nam
 (mix cùng D658C)</t>
  </si>
  <si>
    <t>C2537W-ENG</t>
  </si>
  <si>
    <t>Tiểu nam cảm ứng</t>
  </si>
  <si>
    <t>D658C</t>
  </si>
  <si>
    <t>Van xả cảm ứng</t>
  </si>
  <si>
    <t>F1161205BAF-CP</t>
  </si>
  <si>
    <t>F1173218BW-A9-ENG</t>
  </si>
  <si>
    <t>F16061C-2-ENG</t>
  </si>
  <si>
    <t>F16061C-A2-ENG</t>
  </si>
  <si>
    <t>F251199CP-ENG</t>
  </si>
  <si>
    <t>F118102C-1-ENG</t>
  </si>
  <si>
    <t>F118102C-2-ENG</t>
  </si>
  <si>
    <t>F118102G-1-ENG</t>
  </si>
  <si>
    <t>F118102G-2-ENG</t>
  </si>
  <si>
    <t>F1273308CP</t>
  </si>
  <si>
    <t>F65193CP-A-ENG</t>
  </si>
  <si>
    <t>F699153BW-A2</t>
  </si>
  <si>
    <t>F6172217CP-A-ENG</t>
  </si>
  <si>
    <t>F6276312CP-A-ENG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</si>
</sst>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 [$NTD]\ * #,##0.00_ ;_ [$NTD]\ * \-#,##0.00_ ;_ [$NTD]\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0"/>
      <name val="Arial Cyr"/>
      <family val="2"/>
      <charset val="204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6" fillId="0" borderId="0">
      <alignment vertical="center"/>
    </xf>
  </cellStyleXfs>
  <cellXfs count="17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9" fontId="4" fillId="2" borderId="2" xfId="0" applyNumberFormat="1" applyFont="1" applyFill="1" applyBorder="1" applyAlignment="1">
      <alignment horizontal="center" vertical="center" wrapText="1"/>
    </xf>
    <xf numFmtId="164" fontId="4" fillId="2" borderId="2" xfId="1" applyNumberFormat="1" applyFont="1" applyFill="1" applyBorder="1" applyAlignment="1">
      <alignment horizontal="center" vertical="center" wrapText="1"/>
    </xf>
    <xf numFmtId="9" fontId="4" fillId="0" borderId="2" xfId="2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9" fontId="5" fillId="2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9" fontId="4" fillId="2" borderId="2" xfId="2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Percent" xfId="2" builtinId="5"/>
    <cellStyle name="常规 13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zoomScale="77" zoomScaleNormal="77" workbookViewId="0">
      <pane xSplit="2" ySplit="2" topLeftCell="C42" activePane="bottomRight" state="frozen"/>
      <selection pane="topRight" activeCell="C1" sqref="C1"/>
      <selection pane="bottomLeft" activeCell="A4" sqref="A4"/>
      <selection pane="bottomRight" activeCell="N6" sqref="N6"/>
    </sheetView>
  </sheetViews>
  <sheetFormatPr defaultColWidth="9.15234375" defaultRowHeight="15" x14ac:dyDescent="0.4"/>
  <cols>
    <col min="1" max="1" width="5.53515625" style="14" customWidth="1"/>
    <col min="2" max="2" width="19.07421875" style="14" customWidth="1"/>
    <col min="3" max="3" width="32.07421875" style="14" customWidth="1"/>
    <col min="4" max="4" width="15.3046875" style="14" customWidth="1"/>
    <col min="5" max="5" width="15.53515625" style="14" customWidth="1"/>
    <col min="6" max="6" width="11.84375" style="14" customWidth="1"/>
    <col min="7" max="7" width="18.921875" style="1" customWidth="1"/>
    <col min="8" max="16384" width="9.15234375" style="1"/>
  </cols>
  <sheetData>
    <row r="1" spans="1:7" s="2" customFormat="1" ht="47.25" customHeight="1" x14ac:dyDescent="0.4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</row>
    <row r="2" spans="1:7" s="2" customFormat="1" ht="47.25" customHeight="1" x14ac:dyDescent="0.4">
      <c r="A2" s="16"/>
      <c r="B2" s="16"/>
      <c r="C2" s="16"/>
      <c r="D2" s="16"/>
      <c r="E2" s="16"/>
      <c r="F2" s="16"/>
      <c r="G2" s="16"/>
    </row>
    <row r="3" spans="1:7" s="8" customFormat="1" ht="90.75" customHeight="1" x14ac:dyDescent="0.4">
      <c r="A3" s="3">
        <v>1</v>
      </c>
      <c r="B3" s="3" t="s">
        <v>7</v>
      </c>
      <c r="C3" s="3" t="s">
        <v>8</v>
      </c>
      <c r="D3" s="3" t="s">
        <v>9</v>
      </c>
      <c r="E3" s="4">
        <v>5765150</v>
      </c>
      <c r="F3" s="5">
        <v>0.5</v>
      </c>
      <c r="G3" s="6">
        <f>E3*(1-F3)</f>
        <v>2882575</v>
      </c>
    </row>
    <row r="4" spans="1:7" s="8" customFormat="1" ht="90.75" customHeight="1" x14ac:dyDescent="0.4">
      <c r="A4" s="3">
        <v>2</v>
      </c>
      <c r="B4" s="3" t="s">
        <v>10</v>
      </c>
      <c r="C4" s="3" t="s">
        <v>11</v>
      </c>
      <c r="D4" s="3" t="s">
        <v>9</v>
      </c>
      <c r="E4" s="4">
        <v>5765150</v>
      </c>
      <c r="F4" s="5">
        <v>0.5</v>
      </c>
      <c r="G4" s="6">
        <f t="shared" ref="G4:G45" si="0">E4*(1-F4)</f>
        <v>2882575</v>
      </c>
    </row>
    <row r="5" spans="1:7" s="8" customFormat="1" ht="90.75" customHeight="1" x14ac:dyDescent="0.4">
      <c r="A5" s="3">
        <v>3</v>
      </c>
      <c r="B5" s="3" t="s">
        <v>12</v>
      </c>
      <c r="C5" s="3" t="s">
        <v>13</v>
      </c>
      <c r="D5" s="3" t="s">
        <v>9</v>
      </c>
      <c r="E5" s="4">
        <v>3545137</v>
      </c>
      <c r="F5" s="5">
        <v>0.5</v>
      </c>
      <c r="G5" s="6">
        <f t="shared" si="0"/>
        <v>1772568.5</v>
      </c>
    </row>
    <row r="6" spans="1:7" s="8" customFormat="1" ht="90.75" customHeight="1" x14ac:dyDescent="0.4">
      <c r="A6" s="3">
        <v>4</v>
      </c>
      <c r="B6" s="3" t="s">
        <v>14</v>
      </c>
      <c r="C6" s="3" t="s">
        <v>15</v>
      </c>
      <c r="D6" s="3" t="s">
        <v>9</v>
      </c>
      <c r="E6" s="4">
        <v>7410000</v>
      </c>
      <c r="F6" s="9">
        <v>0.6</v>
      </c>
      <c r="G6" s="6">
        <f t="shared" si="0"/>
        <v>2964000</v>
      </c>
    </row>
    <row r="7" spans="1:7" s="8" customFormat="1" ht="90.75" customHeight="1" x14ac:dyDescent="0.4">
      <c r="A7" s="3">
        <v>5</v>
      </c>
      <c r="B7" s="3" t="s">
        <v>16</v>
      </c>
      <c r="C7" s="3" t="s">
        <v>17</v>
      </c>
      <c r="D7" s="3" t="s">
        <v>9</v>
      </c>
      <c r="E7" s="4">
        <v>3872115</v>
      </c>
      <c r="F7" s="9">
        <v>0.5</v>
      </c>
      <c r="G7" s="6">
        <f t="shared" si="0"/>
        <v>1936057.5</v>
      </c>
    </row>
    <row r="8" spans="1:7" s="8" customFormat="1" ht="90.75" customHeight="1" x14ac:dyDescent="0.4">
      <c r="A8" s="3">
        <v>6</v>
      </c>
      <c r="B8" s="3" t="s">
        <v>18</v>
      </c>
      <c r="C8" s="3" t="s">
        <v>19</v>
      </c>
      <c r="D8" s="3" t="s">
        <v>9</v>
      </c>
      <c r="E8" s="4">
        <v>5765150</v>
      </c>
      <c r="F8" s="9">
        <v>0.55000000000000004</v>
      </c>
      <c r="G8" s="6">
        <f t="shared" si="0"/>
        <v>2594317.4999999995</v>
      </c>
    </row>
    <row r="9" spans="1:7" s="8" customFormat="1" ht="77.25" customHeight="1" x14ac:dyDescent="0.4">
      <c r="A9" s="3">
        <v>7</v>
      </c>
      <c r="B9" s="3" t="s">
        <v>20</v>
      </c>
      <c r="C9" s="3" t="s">
        <v>21</v>
      </c>
      <c r="D9" s="3" t="s">
        <v>9</v>
      </c>
      <c r="E9" s="4">
        <v>9809359</v>
      </c>
      <c r="F9" s="5">
        <v>0.55000000000000004</v>
      </c>
      <c r="G9" s="6">
        <f t="shared" si="0"/>
        <v>4414211.55</v>
      </c>
    </row>
    <row r="10" spans="1:7" s="8" customFormat="1" ht="77.25" customHeight="1" x14ac:dyDescent="0.4">
      <c r="A10" s="3">
        <v>8</v>
      </c>
      <c r="B10" s="3" t="s">
        <v>22</v>
      </c>
      <c r="C10" s="3" t="s">
        <v>23</v>
      </c>
      <c r="D10" s="3" t="s">
        <v>9</v>
      </c>
      <c r="E10" s="4">
        <v>8862842</v>
      </c>
      <c r="F10" s="5">
        <v>0.55000000000000004</v>
      </c>
      <c r="G10" s="6">
        <f t="shared" si="0"/>
        <v>3988278.8999999994</v>
      </c>
    </row>
    <row r="11" spans="1:7" s="8" customFormat="1" ht="77.25" customHeight="1" x14ac:dyDescent="0.4">
      <c r="A11" s="3">
        <v>9</v>
      </c>
      <c r="B11" s="3" t="s">
        <v>24</v>
      </c>
      <c r="C11" s="3" t="s">
        <v>25</v>
      </c>
      <c r="D11" s="3" t="s">
        <v>9</v>
      </c>
      <c r="E11" s="4">
        <v>4474445</v>
      </c>
      <c r="F11" s="5">
        <v>0.5</v>
      </c>
      <c r="G11" s="6">
        <f t="shared" si="0"/>
        <v>2237222.5</v>
      </c>
    </row>
    <row r="12" spans="1:7" s="8" customFormat="1" ht="77.25" customHeight="1" x14ac:dyDescent="0.4">
      <c r="A12" s="3">
        <v>10</v>
      </c>
      <c r="B12" s="3" t="s">
        <v>26</v>
      </c>
      <c r="C12" s="3" t="s">
        <v>27</v>
      </c>
      <c r="D12" s="3" t="s">
        <v>9</v>
      </c>
      <c r="E12" s="4">
        <v>6453526</v>
      </c>
      <c r="F12" s="5">
        <v>0.6</v>
      </c>
      <c r="G12" s="6">
        <f t="shared" si="0"/>
        <v>2581410.4000000004</v>
      </c>
    </row>
    <row r="13" spans="1:7" s="8" customFormat="1" ht="77.25" customHeight="1" x14ac:dyDescent="0.4">
      <c r="A13" s="3">
        <v>11</v>
      </c>
      <c r="B13" s="3" t="s">
        <v>28</v>
      </c>
      <c r="C13" s="3" t="s">
        <v>29</v>
      </c>
      <c r="D13" s="3" t="s">
        <v>9</v>
      </c>
      <c r="E13" s="4">
        <v>6255360</v>
      </c>
      <c r="F13" s="5">
        <v>0.5</v>
      </c>
      <c r="G13" s="6">
        <f t="shared" si="0"/>
        <v>3127680</v>
      </c>
    </row>
    <row r="14" spans="1:7" s="8" customFormat="1" ht="77.25" customHeight="1" x14ac:dyDescent="0.4">
      <c r="A14" s="3">
        <v>12</v>
      </c>
      <c r="B14" s="3" t="s">
        <v>30</v>
      </c>
      <c r="C14" s="3" t="s">
        <v>31</v>
      </c>
      <c r="D14" s="3" t="s">
        <v>9</v>
      </c>
      <c r="E14" s="4">
        <v>4680000</v>
      </c>
      <c r="F14" s="5">
        <v>0.5</v>
      </c>
      <c r="G14" s="6">
        <f t="shared" si="0"/>
        <v>2340000</v>
      </c>
    </row>
    <row r="15" spans="1:7" s="8" customFormat="1" ht="77.25" customHeight="1" x14ac:dyDescent="0.4">
      <c r="A15" s="3">
        <v>13</v>
      </c>
      <c r="B15" s="3" t="s">
        <v>32</v>
      </c>
      <c r="C15" s="3" t="s">
        <v>33</v>
      </c>
      <c r="D15" s="3" t="s">
        <v>9</v>
      </c>
      <c r="E15" s="4">
        <v>4130256</v>
      </c>
      <c r="F15" s="5">
        <v>0.5</v>
      </c>
      <c r="G15" s="6">
        <f t="shared" si="0"/>
        <v>2065128</v>
      </c>
    </row>
    <row r="16" spans="1:7" s="8" customFormat="1" ht="77.25" customHeight="1" x14ac:dyDescent="0.4">
      <c r="A16" s="3">
        <v>14</v>
      </c>
      <c r="B16" s="3" t="s">
        <v>34</v>
      </c>
      <c r="C16" s="3" t="s">
        <v>35</v>
      </c>
      <c r="D16" s="3" t="s">
        <v>9</v>
      </c>
      <c r="E16" s="4">
        <v>5076774</v>
      </c>
      <c r="F16" s="5">
        <v>0.5</v>
      </c>
      <c r="G16" s="6">
        <f t="shared" si="0"/>
        <v>2538387</v>
      </c>
    </row>
    <row r="17" spans="1:7" ht="90.75" customHeight="1" x14ac:dyDescent="0.4">
      <c r="A17" s="3">
        <v>15</v>
      </c>
      <c r="B17" s="3" t="s">
        <v>36</v>
      </c>
      <c r="C17" s="3" t="s">
        <v>37</v>
      </c>
      <c r="D17" s="3" t="s">
        <v>9</v>
      </c>
      <c r="E17" s="4">
        <v>6813840</v>
      </c>
      <c r="F17" s="5">
        <v>0.5</v>
      </c>
      <c r="G17" s="6">
        <f t="shared" si="0"/>
        <v>3406920</v>
      </c>
    </row>
    <row r="18" spans="1:7" s="8" customFormat="1" ht="76.5" customHeight="1" x14ac:dyDescent="0.4">
      <c r="A18" s="3">
        <v>16</v>
      </c>
      <c r="B18" s="10" t="s">
        <v>38</v>
      </c>
      <c r="C18" s="10" t="s">
        <v>39</v>
      </c>
      <c r="D18" s="10" t="s">
        <v>9</v>
      </c>
      <c r="E18" s="11">
        <v>11874487</v>
      </c>
      <c r="F18" s="7">
        <v>0.45</v>
      </c>
      <c r="G18" s="6">
        <f t="shared" si="0"/>
        <v>6530967.8500000006</v>
      </c>
    </row>
    <row r="19" spans="1:7" s="8" customFormat="1" ht="66.75" customHeight="1" x14ac:dyDescent="0.4">
      <c r="A19" s="3">
        <v>17</v>
      </c>
      <c r="B19" s="10" t="s">
        <v>40</v>
      </c>
      <c r="C19" s="10" t="s">
        <v>41</v>
      </c>
      <c r="D19" s="10" t="s">
        <v>9</v>
      </c>
      <c r="E19" s="11">
        <v>8862842</v>
      </c>
      <c r="F19" s="7">
        <f t="shared" ref="F19" si="1">1-50%</f>
        <v>0.5</v>
      </c>
      <c r="G19" s="6">
        <f t="shared" si="0"/>
        <v>4431421</v>
      </c>
    </row>
    <row r="20" spans="1:7" s="8" customFormat="1" ht="67.5" customHeight="1" x14ac:dyDescent="0.4">
      <c r="A20" s="3">
        <v>18</v>
      </c>
      <c r="B20" s="10" t="s">
        <v>42</v>
      </c>
      <c r="C20" s="10" t="s">
        <v>43</v>
      </c>
      <c r="D20" s="10" t="s">
        <v>9</v>
      </c>
      <c r="E20" s="11">
        <v>5880000</v>
      </c>
      <c r="F20" s="7">
        <v>0.57999999999999996</v>
      </c>
      <c r="G20" s="6">
        <f t="shared" si="0"/>
        <v>2469600.0000000005</v>
      </c>
    </row>
    <row r="21" spans="1:7" s="8" customFormat="1" ht="67.5" customHeight="1" x14ac:dyDescent="0.4">
      <c r="A21" s="3">
        <v>19</v>
      </c>
      <c r="B21" s="10" t="s">
        <v>44</v>
      </c>
      <c r="C21" s="10" t="s">
        <v>45</v>
      </c>
      <c r="D21" s="10" t="s">
        <v>9</v>
      </c>
      <c r="E21" s="11">
        <v>3920000</v>
      </c>
      <c r="F21" s="7">
        <v>0.57999999999999996</v>
      </c>
      <c r="G21" s="6">
        <f t="shared" si="0"/>
        <v>1646400.0000000002</v>
      </c>
    </row>
    <row r="22" spans="1:7" s="8" customFormat="1" ht="69.75" customHeight="1" x14ac:dyDescent="0.4">
      <c r="A22" s="3">
        <v>20</v>
      </c>
      <c r="B22" s="10" t="s">
        <v>71</v>
      </c>
      <c r="C22" s="10" t="s">
        <v>46</v>
      </c>
      <c r="D22" s="10" t="s">
        <v>9</v>
      </c>
      <c r="E22" s="11">
        <v>13165193</v>
      </c>
      <c r="F22" s="7">
        <v>0.5</v>
      </c>
      <c r="G22" s="6">
        <f t="shared" si="0"/>
        <v>6582596.5</v>
      </c>
    </row>
    <row r="23" spans="1:7" s="8" customFormat="1" ht="69.75" customHeight="1" x14ac:dyDescent="0.4">
      <c r="A23" s="3">
        <v>21</v>
      </c>
      <c r="B23" s="10" t="s">
        <v>72</v>
      </c>
      <c r="C23" s="10" t="s">
        <v>47</v>
      </c>
      <c r="D23" s="10" t="s">
        <v>9</v>
      </c>
      <c r="E23" s="11">
        <v>9723312</v>
      </c>
      <c r="F23" s="7">
        <v>0.55000000000000004</v>
      </c>
      <c r="G23" s="6">
        <f t="shared" si="0"/>
        <v>4375490.3999999994</v>
      </c>
    </row>
    <row r="24" spans="1:7" s="8" customFormat="1" ht="69.75" customHeight="1" x14ac:dyDescent="0.4">
      <c r="A24" s="3">
        <v>22</v>
      </c>
      <c r="B24" s="10" t="s">
        <v>48</v>
      </c>
      <c r="C24" s="10" t="s">
        <v>47</v>
      </c>
      <c r="D24" s="10" t="s">
        <v>9</v>
      </c>
      <c r="E24" s="11">
        <v>10870000</v>
      </c>
      <c r="F24" s="7">
        <v>0.5</v>
      </c>
      <c r="G24" s="6">
        <f t="shared" si="0"/>
        <v>5435000</v>
      </c>
    </row>
    <row r="25" spans="1:7" s="8" customFormat="1" ht="69.75" customHeight="1" x14ac:dyDescent="0.4">
      <c r="A25" s="3">
        <v>23</v>
      </c>
      <c r="B25" s="10" t="s">
        <v>73</v>
      </c>
      <c r="C25" s="10" t="s">
        <v>46</v>
      </c>
      <c r="D25" s="10" t="s">
        <v>9</v>
      </c>
      <c r="E25" s="11">
        <v>8432607</v>
      </c>
      <c r="F25" s="7">
        <v>0.6</v>
      </c>
      <c r="G25" s="6">
        <f t="shared" si="0"/>
        <v>3373042.8000000003</v>
      </c>
    </row>
    <row r="26" spans="1:7" s="8" customFormat="1" ht="69.75" customHeight="1" x14ac:dyDescent="0.4">
      <c r="A26" s="3">
        <v>24</v>
      </c>
      <c r="B26" s="10" t="s">
        <v>74</v>
      </c>
      <c r="C26" s="10" t="s">
        <v>47</v>
      </c>
      <c r="D26" s="10" t="s">
        <v>9</v>
      </c>
      <c r="E26" s="11">
        <v>11014017</v>
      </c>
      <c r="F26" s="7">
        <v>0.6</v>
      </c>
      <c r="G26" s="6">
        <f t="shared" si="0"/>
        <v>4405606.8</v>
      </c>
    </row>
    <row r="27" spans="1:7" s="8" customFormat="1" ht="69.75" customHeight="1" x14ac:dyDescent="0.4">
      <c r="A27" s="3">
        <v>25</v>
      </c>
      <c r="B27" s="10" t="s">
        <v>49</v>
      </c>
      <c r="C27" s="10" t="s">
        <v>46</v>
      </c>
      <c r="D27" s="10" t="s">
        <v>9</v>
      </c>
      <c r="E27" s="11">
        <v>8559648</v>
      </c>
      <c r="F27" s="7">
        <v>0.6</v>
      </c>
      <c r="G27" s="6">
        <f t="shared" si="0"/>
        <v>3423859.2</v>
      </c>
    </row>
    <row r="28" spans="1:7" s="8" customFormat="1" ht="69.75" customHeight="1" x14ac:dyDescent="0.4">
      <c r="A28" s="3">
        <v>26</v>
      </c>
      <c r="B28" s="10" t="s">
        <v>75</v>
      </c>
      <c r="C28" s="10" t="s">
        <v>50</v>
      </c>
      <c r="D28" s="10" t="s">
        <v>9</v>
      </c>
      <c r="E28" s="11">
        <v>11100064</v>
      </c>
      <c r="F28" s="7">
        <v>0.6</v>
      </c>
      <c r="G28" s="6">
        <f t="shared" si="0"/>
        <v>4440025.6000000006</v>
      </c>
    </row>
    <row r="29" spans="1:7" s="8" customFormat="1" ht="67.5" customHeight="1" x14ac:dyDescent="0.4">
      <c r="A29" s="3">
        <v>27</v>
      </c>
      <c r="B29" s="10" t="s">
        <v>76</v>
      </c>
      <c r="C29" s="10" t="s">
        <v>51</v>
      </c>
      <c r="D29" s="10" t="s">
        <v>9</v>
      </c>
      <c r="E29" s="11">
        <v>14369851</v>
      </c>
      <c r="F29" s="7">
        <v>0.6</v>
      </c>
      <c r="G29" s="6">
        <f t="shared" si="0"/>
        <v>5747940.4000000004</v>
      </c>
    </row>
    <row r="30" spans="1:7" ht="67.5" customHeight="1" x14ac:dyDescent="0.4">
      <c r="A30" s="3">
        <v>28</v>
      </c>
      <c r="B30" s="10" t="s">
        <v>77</v>
      </c>
      <c r="C30" s="10" t="s">
        <v>52</v>
      </c>
      <c r="D30" s="10" t="s">
        <v>9</v>
      </c>
      <c r="E30" s="11">
        <v>19618718</v>
      </c>
      <c r="F30" s="7">
        <v>0.6</v>
      </c>
      <c r="G30" s="6">
        <f t="shared" si="0"/>
        <v>7847487.2000000002</v>
      </c>
    </row>
    <row r="31" spans="1:7" ht="67.5" customHeight="1" x14ac:dyDescent="0.4">
      <c r="A31" s="3">
        <v>29</v>
      </c>
      <c r="B31" s="3" t="s">
        <v>53</v>
      </c>
      <c r="C31" s="10" t="s">
        <v>46</v>
      </c>
      <c r="D31" s="10" t="s">
        <v>9</v>
      </c>
      <c r="E31" s="11">
        <v>7780000</v>
      </c>
      <c r="F31" s="7">
        <v>0.6</v>
      </c>
      <c r="G31" s="6">
        <f t="shared" si="0"/>
        <v>3112000</v>
      </c>
    </row>
    <row r="32" spans="1:7" ht="67.5" customHeight="1" x14ac:dyDescent="0.4">
      <c r="A32" s="3">
        <v>30</v>
      </c>
      <c r="B32" s="3" t="s">
        <v>78</v>
      </c>
      <c r="C32" s="10" t="s">
        <v>54</v>
      </c>
      <c r="D32" s="10" t="s">
        <v>9</v>
      </c>
      <c r="E32" s="11">
        <v>23232693</v>
      </c>
      <c r="F32" s="7">
        <v>0.6</v>
      </c>
      <c r="G32" s="6">
        <f t="shared" si="0"/>
        <v>9293077.2000000011</v>
      </c>
    </row>
    <row r="33" spans="1:7" ht="67.5" customHeight="1" x14ac:dyDescent="0.4">
      <c r="A33" s="3">
        <v>31</v>
      </c>
      <c r="B33" s="3" t="s">
        <v>79</v>
      </c>
      <c r="C33" s="10" t="s">
        <v>52</v>
      </c>
      <c r="D33" s="10" t="s">
        <v>9</v>
      </c>
      <c r="E33" s="11">
        <v>24609445</v>
      </c>
      <c r="F33" s="7">
        <v>0.6</v>
      </c>
      <c r="G33" s="6">
        <f t="shared" si="0"/>
        <v>9843778</v>
      </c>
    </row>
    <row r="34" spans="1:7" ht="67.5" customHeight="1" x14ac:dyDescent="0.4">
      <c r="A34" s="3">
        <v>32</v>
      </c>
      <c r="B34" s="3" t="s">
        <v>80</v>
      </c>
      <c r="C34" s="10" t="s">
        <v>46</v>
      </c>
      <c r="D34" s="10" t="s">
        <v>9</v>
      </c>
      <c r="E34" s="11">
        <v>5162821</v>
      </c>
      <c r="F34" s="7">
        <v>0.6</v>
      </c>
      <c r="G34" s="6">
        <f t="shared" si="0"/>
        <v>2065128.4000000001</v>
      </c>
    </row>
    <row r="35" spans="1:7" ht="67.5" customHeight="1" x14ac:dyDescent="0.4">
      <c r="A35" s="3">
        <v>33</v>
      </c>
      <c r="B35" s="3" t="s">
        <v>55</v>
      </c>
      <c r="C35" s="10" t="s">
        <v>46</v>
      </c>
      <c r="D35" s="10" t="s">
        <v>9</v>
      </c>
      <c r="E35" s="11">
        <v>8817120</v>
      </c>
      <c r="F35" s="7">
        <v>0.6</v>
      </c>
      <c r="G35" s="6">
        <f t="shared" si="0"/>
        <v>3526848</v>
      </c>
    </row>
    <row r="36" spans="1:7" s="12" customFormat="1" ht="86.25" customHeight="1" x14ac:dyDescent="0.4">
      <c r="A36" s="3">
        <v>34</v>
      </c>
      <c r="B36" s="3" t="s">
        <v>56</v>
      </c>
      <c r="C36" s="10" t="s">
        <v>47</v>
      </c>
      <c r="D36" s="10" t="s">
        <v>9</v>
      </c>
      <c r="E36" s="11">
        <v>10289376</v>
      </c>
      <c r="F36" s="7">
        <v>0.6</v>
      </c>
      <c r="G36" s="6">
        <f t="shared" si="0"/>
        <v>4115750.4000000004</v>
      </c>
    </row>
    <row r="37" spans="1:7" s="8" customFormat="1" ht="69.75" customHeight="1" x14ac:dyDescent="0.4">
      <c r="A37" s="3">
        <v>35</v>
      </c>
      <c r="B37" s="3" t="s">
        <v>81</v>
      </c>
      <c r="C37" s="10" t="s">
        <v>57</v>
      </c>
      <c r="D37" s="10" t="s">
        <v>9</v>
      </c>
      <c r="E37" s="11">
        <v>24523398</v>
      </c>
      <c r="F37" s="7">
        <v>0.6</v>
      </c>
      <c r="G37" s="6">
        <f t="shared" si="0"/>
        <v>9809359.2000000011</v>
      </c>
    </row>
    <row r="38" spans="1:7" s="8" customFormat="1" ht="69.75" customHeight="1" x14ac:dyDescent="0.4">
      <c r="A38" s="3">
        <v>36</v>
      </c>
      <c r="B38" s="3" t="s">
        <v>82</v>
      </c>
      <c r="C38" s="10" t="s">
        <v>58</v>
      </c>
      <c r="D38" s="10" t="s">
        <v>9</v>
      </c>
      <c r="E38" s="11">
        <v>29255983</v>
      </c>
      <c r="F38" s="7">
        <v>0.5</v>
      </c>
      <c r="G38" s="6">
        <f t="shared" si="0"/>
        <v>14627991.5</v>
      </c>
    </row>
    <row r="39" spans="1:7" s="8" customFormat="1" ht="69.75" customHeight="1" x14ac:dyDescent="0.4">
      <c r="A39" s="3">
        <v>37</v>
      </c>
      <c r="B39" s="10" t="s">
        <v>83</v>
      </c>
      <c r="C39" s="10" t="s">
        <v>59</v>
      </c>
      <c r="D39" s="10" t="s">
        <v>9</v>
      </c>
      <c r="E39" s="11">
        <v>20048953</v>
      </c>
      <c r="F39" s="7">
        <v>0.5</v>
      </c>
      <c r="G39" s="6">
        <f t="shared" si="0"/>
        <v>10024476.5</v>
      </c>
    </row>
    <row r="40" spans="1:7" s="8" customFormat="1" ht="69.75" customHeight="1" x14ac:dyDescent="0.4">
      <c r="A40" s="3">
        <v>38</v>
      </c>
      <c r="B40" s="10" t="s">
        <v>84</v>
      </c>
      <c r="C40" s="10" t="s">
        <v>60</v>
      </c>
      <c r="D40" s="10" t="s">
        <v>9</v>
      </c>
      <c r="E40" s="11">
        <v>36311838</v>
      </c>
      <c r="F40" s="7">
        <v>0.5</v>
      </c>
      <c r="G40" s="6">
        <f t="shared" si="0"/>
        <v>18155919</v>
      </c>
    </row>
    <row r="41" spans="1:7" s="8" customFormat="1" ht="69.75" customHeight="1" x14ac:dyDescent="0.4">
      <c r="A41" s="3">
        <v>39</v>
      </c>
      <c r="B41" s="10" t="s">
        <v>61</v>
      </c>
      <c r="C41" s="10" t="s">
        <v>62</v>
      </c>
      <c r="D41" s="10" t="s">
        <v>9</v>
      </c>
      <c r="E41" s="11">
        <v>5930000</v>
      </c>
      <c r="F41" s="13">
        <v>0.5</v>
      </c>
      <c r="G41" s="6">
        <f t="shared" si="0"/>
        <v>2965000</v>
      </c>
    </row>
    <row r="42" spans="1:7" s="8" customFormat="1" ht="69.75" customHeight="1" x14ac:dyDescent="0.4">
      <c r="A42" s="3">
        <v>40</v>
      </c>
      <c r="B42" s="10" t="s">
        <v>63</v>
      </c>
      <c r="C42" s="10" t="s">
        <v>64</v>
      </c>
      <c r="D42" s="10" t="s">
        <v>9</v>
      </c>
      <c r="E42" s="11">
        <v>6625620</v>
      </c>
      <c r="F42" s="13">
        <v>0.5</v>
      </c>
      <c r="G42" s="6">
        <f t="shared" si="0"/>
        <v>3312810</v>
      </c>
    </row>
    <row r="43" spans="1:7" s="8" customFormat="1" ht="69.75" customHeight="1" x14ac:dyDescent="0.4">
      <c r="A43" s="3">
        <v>41</v>
      </c>
      <c r="B43" s="10" t="s">
        <v>65</v>
      </c>
      <c r="C43" s="10" t="s">
        <v>66</v>
      </c>
      <c r="D43" s="10" t="s">
        <v>9</v>
      </c>
      <c r="E43" s="11">
        <v>5186220</v>
      </c>
      <c r="F43" s="13">
        <v>0.5</v>
      </c>
      <c r="G43" s="6">
        <f t="shared" si="0"/>
        <v>2593110</v>
      </c>
    </row>
    <row r="44" spans="1:7" s="8" customFormat="1" ht="69.75" customHeight="1" x14ac:dyDescent="0.4">
      <c r="A44" s="3">
        <v>42</v>
      </c>
      <c r="B44" s="10" t="s">
        <v>67</v>
      </c>
      <c r="C44" s="10" t="s">
        <v>68</v>
      </c>
      <c r="D44" s="10" t="s">
        <v>9</v>
      </c>
      <c r="E44" s="11">
        <v>8257680</v>
      </c>
      <c r="F44" s="13">
        <v>0.5</v>
      </c>
      <c r="G44" s="6">
        <f t="shared" si="0"/>
        <v>4128840</v>
      </c>
    </row>
    <row r="45" spans="1:7" s="8" customFormat="1" ht="69.75" customHeight="1" x14ac:dyDescent="0.4">
      <c r="A45" s="3">
        <v>43</v>
      </c>
      <c r="B45" s="10" t="s">
        <v>69</v>
      </c>
      <c r="C45" s="10" t="s">
        <v>70</v>
      </c>
      <c r="D45" s="10" t="s">
        <v>9</v>
      </c>
      <c r="E45" s="11">
        <v>9261000</v>
      </c>
      <c r="F45" s="13">
        <v>0.5</v>
      </c>
      <c r="G45" s="6">
        <f t="shared" si="0"/>
        <v>4630500</v>
      </c>
    </row>
  </sheetData>
  <autoFilter ref="A1:G17" xr:uid="{00000000-0009-0000-0000-000000000000}"/>
  <mergeCells count="7">
    <mergeCell ref="A1:A2"/>
    <mergeCell ref="B1:B2"/>
    <mergeCell ref="C1:C2"/>
    <mergeCell ref="D1:D2"/>
    <mergeCell ref="E1:E2"/>
    <mergeCell ref="F1:F2"/>
    <mergeCell ref="G1:G2"/>
  </mergeCells>
  <conditionalFormatting sqref="B22:B36">
    <cfRule type="duplicateValues" dxfId="3" priority="2"/>
  </conditionalFormatting>
  <conditionalFormatting sqref="B37:B40">
    <cfRule type="duplicateValues" dxfId="2" priority="4"/>
  </conditionalFormatting>
  <conditionalFormatting sqref="B41:B44">
    <cfRule type="duplicateValues" dxfId="1" priority="3"/>
  </conditionalFormatting>
  <conditionalFormatting sqref="B45">
    <cfRule type="duplicateValues" dxfId="0" priority="1"/>
  </conditionalFormatting>
  <pageMargins left="0.24" right="0.16" top="0.27" bottom="0.26" header="0.3" footer="0.3"/>
  <pageSetup paperSize="9" scale="55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 HÀNH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HUONG-PC</dc:creator>
  <cp:lastModifiedBy>Rome Somewat</cp:lastModifiedBy>
  <dcterms:created xsi:type="dcterms:W3CDTF">2026-07-09T09:21:19Z</dcterms:created>
  <dcterms:modified xsi:type="dcterms:W3CDTF">2026-07-09T12:42:44Z</dcterms:modified>
</cp:coreProperties>
</file>